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S:\"/>
    </mc:Choice>
  </mc:AlternateContent>
  <bookViews>
    <workbookView xWindow="0" yWindow="0" windowWidth="20490" windowHeight="7755"/>
  </bookViews>
  <sheets>
    <sheet name="Questions" sheetId="1" r:id="rId1"/>
    <sheet name="ExitAndSave" sheetId="5" state="veryHidden" r:id="rId2"/>
    <sheet name="AnswerLookup" sheetId="4" state="veryHidden" r:id="rId3"/>
    <sheet name="Dropdowns" sheetId="3" state="veryHidden" r:id="rId4"/>
    <sheet name="Answers" sheetId="2" state="veryHidden" r:id="rId5"/>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4" l="1"/>
  <c r="B23" i="4"/>
  <c r="C22" i="4"/>
  <c r="B22" i="4"/>
  <c r="C21" i="4"/>
  <c r="B21" i="4"/>
  <c r="C20" i="4"/>
  <c r="B20" i="4"/>
  <c r="C19" i="4"/>
  <c r="B19" i="4"/>
  <c r="C17" i="4"/>
  <c r="B17" i="4"/>
  <c r="C16" i="4"/>
  <c r="B16" i="4"/>
  <c r="C15" i="4"/>
  <c r="B15" i="4"/>
  <c r="C14" i="4"/>
  <c r="B14" i="4"/>
  <c r="C11" i="4"/>
  <c r="B11" i="4"/>
  <c r="C10" i="4"/>
  <c r="B10" i="4"/>
  <c r="C9" i="4"/>
  <c r="B9" i="4"/>
  <c r="C8" i="4"/>
  <c r="B8" i="4"/>
  <c r="C7" i="4"/>
  <c r="B7" i="4"/>
  <c r="C6" i="4"/>
  <c r="B6" i="4"/>
  <c r="C5" i="4"/>
  <c r="B5" i="4"/>
  <c r="C4" i="4"/>
  <c r="B4" i="4"/>
  <c r="C3" i="4"/>
  <c r="B3" i="4"/>
  <c r="C2" i="4"/>
  <c r="B2" i="4"/>
  <c r="B18" i="4" l="1"/>
  <c r="C18" i="4" s="1"/>
  <c r="B2" i="2" s="1"/>
  <c r="C47" i="1" s="1"/>
  <c r="B1" i="2" l="1"/>
</calcChain>
</file>

<file path=xl/sharedStrings.xml><?xml version="1.0" encoding="utf-8"?>
<sst xmlns="http://schemas.openxmlformats.org/spreadsheetml/2006/main" count="75" uniqueCount="69">
  <si>
    <t>What is the correct logical processing order?</t>
  </si>
  <si>
    <t>WHERE, FROM, HAVING, SELECT, ORDER BY, GROUP BY</t>
  </si>
  <si>
    <t>FROM, WHERE, GROUP BY, HAVING, SELECT, ORDER BY</t>
  </si>
  <si>
    <t>SELECT, FROM, WHERE, GROUP BY, HAVING, ORDER BY</t>
  </si>
  <si>
    <t>Answers</t>
  </si>
  <si>
    <t>Correct</t>
  </si>
  <si>
    <t>You have two tables populated as follows:</t>
  </si>
  <si>
    <t xml:space="preserve">CREATE TABLE Table1 (AlphaValue CHAR(1))
CREATE TABLE Table2 (AlphaValue CHAR(1))
INSERT Table1(AlphaValue)
VALUES
('a')
,('b')
,('c')
,('d')
INSERT Table2(AlphaValue)
VALUES
('b')
,('e')
,('f')
,('g')
</t>
  </si>
  <si>
    <t>What are the results of these queries:</t>
  </si>
  <si>
    <t>SELECT COUNT(*) AS cnt
FROM Table1 t
INNER JOIN Table2 t1 ON t.AlphaValue = t1.AlphaValue</t>
  </si>
  <si>
    <t>Question Number</t>
  </si>
  <si>
    <t>Question</t>
  </si>
  <si>
    <t>SELECT COUNT(*) AS cnt
FROM Table1 t
LEFT JOIN Table2 t1 ON t.AlphaValue = t1.AlphaValue</t>
  </si>
  <si>
    <t>SELECT COUNT(*) AS cnt
FROM Table1 t
RIGHT JOIN Table2 t1 ON t.AlphaValue = t1.AlphaValue</t>
  </si>
  <si>
    <t>SELECT COUNT(*) AS cnt
FROM Table1 t
FULL JOIN Table2 t1 ON t.AlphaValue = t1.AlphaValue</t>
  </si>
  <si>
    <t>3 &amp; 4</t>
  </si>
  <si>
    <t xml:space="preserve">SELECT COUNT(*) AS cnt
FROM Table1 t
CROSS JOIN Table2 t1 </t>
  </si>
  <si>
    <t>Questions Answered</t>
  </si>
  <si>
    <t>Correct Answers:</t>
  </si>
  <si>
    <t>An error is returned because the function EOMONTH accepts only one parameter</t>
  </si>
  <si>
    <t>2012-02-29</t>
  </si>
  <si>
    <t>2012-04-30</t>
  </si>
  <si>
    <t>2012-02-03</t>
  </si>
  <si>
    <r>
      <t xml:space="preserve">What is the output of the following statement?
</t>
    </r>
    <r>
      <rPr>
        <b/>
        <sz val="11"/>
        <color theme="3"/>
        <rFont val="Courier New"/>
        <family val="3"/>
      </rPr>
      <t xml:space="preserve">
DECLARE @Date DATETIME = '20120201'
SELECT EOMONTH( @Date, 2 )</t>
    </r>
    <r>
      <rPr>
        <sz val="11"/>
        <color theme="1"/>
        <rFont val="Calibri"/>
        <family val="2"/>
        <scheme val="minor"/>
      </rPr>
      <t xml:space="preserve">
(Date specified is Feb 1st 2012)</t>
    </r>
  </si>
  <si>
    <t>MaxSize         REAL</t>
  </si>
  <si>
    <t>Description     NVARCHAR(8000)</t>
  </si>
  <si>
    <r>
      <t xml:space="preserve">Which line of this create table statement will cause an error?
</t>
    </r>
    <r>
      <rPr>
        <b/>
        <sz val="10"/>
        <color theme="3"/>
        <rFont val="Courier New"/>
        <family val="3"/>
      </rPr>
      <t>CREATE TABLE [dbo].[Database] (
    DatabaseID      DECIMAL(10) ,
    InitialSize     FLOAT(10),
    MaxSize         REAL,
    Description     NVARCHAR(8000)
)</t>
    </r>
  </si>
  <si>
    <t>Which SQL statement is used to extract data from a database?</t>
  </si>
  <si>
    <t>GET</t>
  </si>
  <si>
    <t>EXTRACT</t>
  </si>
  <si>
    <t>SELECT</t>
  </si>
  <si>
    <t>OPEN</t>
  </si>
  <si>
    <t>DatabaseID      DECIMAL(10)</t>
  </si>
  <si>
    <t>InitialSize     FLOAT(10)</t>
  </si>
  <si>
    <r>
      <t xml:space="preserve">Which of these is a valid SQL statement?
</t>
    </r>
    <r>
      <rPr>
        <b/>
        <sz val="10"/>
        <color theme="3"/>
        <rFont val="Courier New"/>
        <family val="3"/>
      </rPr>
      <t>DELETE FROM Table1 WHERE Team = 'Team1'
TRUNCATE TABLE Table1 WHERE Team = 'Team1'</t>
    </r>
  </si>
  <si>
    <t>Both are valid</t>
  </si>
  <si>
    <t>DELETE FROM Table1 WHERE Team = 'Team1'</t>
  </si>
  <si>
    <t>TRUNCATE TABLE Table1 WHERE Team = 'Team1'</t>
  </si>
  <si>
    <t>Neither are valid statements</t>
  </si>
  <si>
    <t>s</t>
  </si>
  <si>
    <t>LastUpdate = GETDATE()</t>
  </si>
  <si>
    <t>FROM</t>
  </si>
  <si>
    <t>Teams t on s.TeamId = t.Id</t>
  </si>
  <si>
    <t>WHERE</t>
  </si>
  <si>
    <t>TeamName = 'North Region'</t>
  </si>
  <si>
    <t>SET</t>
  </si>
  <si>
    <t>Sales s</t>
  </si>
  <si>
    <t>JOIN</t>
  </si>
  <si>
    <t>Use the drop down boxes to select the correct keywords.  A point for each correct answers plus a bonus point if all are correct.</t>
  </si>
  <si>
    <t>UPDATE</t>
  </si>
  <si>
    <t>11 - 15</t>
  </si>
  <si>
    <t>What is the result of this query?</t>
  </si>
  <si>
    <t>SELECT CAST(11111111111 AS INT)</t>
  </si>
  <si>
    <t>It is not valid because you have not selected a table</t>
  </si>
  <si>
    <t>NULL</t>
  </si>
  <si>
    <t>Arithmetic overflow error converting expression to data type int.</t>
  </si>
  <si>
    <t>You have data entered as follows:</t>
  </si>
  <si>
    <t>DECLARE @Table1 TABLE(Table1Id INT)
DECLARE @Table2 TABLE(Table2Id INT)
INSERT @Table1
VALUES
(1)
,(1)
,(2)
,(3)
,(4)
,(5)
,(6)
,(7)
,(8)
,(9)
,(10)
INSERT @Table2
VALUES
(2)
,(4)
,(6)
,(8)
,(10)</t>
  </si>
  <si>
    <t>SELECT * FROM @Table1
UNION
SELECT * FROM @Table2</t>
  </si>
  <si>
    <t>An error is returned</t>
  </si>
  <si>
    <t>SELECT * FROM @Table1
UNION ALL
SELECT * FROM @Table2</t>
  </si>
  <si>
    <t>SELECT * FROM @Table1
INTERSECT
SELECT * FROM @Table2</t>
  </si>
  <si>
    <t>SELECT * FROM @Table1
EXCEPT
SELECT * FROM @Table2</t>
  </si>
  <si>
    <t>Thank You</t>
  </si>
  <si>
    <t>Please Save this Workbook and Email to kevin.williams@callcreditgroup.com</t>
  </si>
  <si>
    <t>Correct?</t>
  </si>
  <si>
    <t>How  many rows are returned by the following queries?</t>
  </si>
  <si>
    <t>Please use the dropdown boxes to select answers from the red cells.  You must answer all questions.  You will not be given your score until the results have been validated manually.</t>
  </si>
  <si>
    <t>FROM, SELECT, WHERE, GROUP BY, HAVING, ORDER BY</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</si>
</sst>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b/>
      <sz val="11"/>
      <color theme="3"/>
      <name val="Courier New"/>
      <family val="3"/>
    </font>
    <font>
      <b/>
      <sz val="10"/>
      <color theme="3"/>
      <name val="Courier New"/>
      <family val="3"/>
    </font>
    <font>
      <b/>
      <sz val="9"/>
      <color theme="3"/>
      <name val="Courier New"/>
      <family val="3"/>
    </font>
    <font>
      <sz val="11"/>
      <color rgb="FF000000"/>
      <name val="Calibri"/>
      <family val="2"/>
    </font>
    <font>
      <sz val="24"/>
      <color theme="1"/>
      <name val="Calibri"/>
      <family val="2"/>
      <scheme val="minor"/>
    </font>
    <font>
      <sz val="14"/>
      <color theme="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59999389629810485"/>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style="medium">
        <color indexed="64"/>
      </right>
      <top/>
      <bottom style="thin">
        <color indexed="64"/>
      </bottom>
      <diagonal/>
    </border>
  </borders>
  <cellStyleXfs count="1">
    <xf numFmtId="0" fontId="0" fillId="0" borderId="0"/>
  </cellStyleXfs>
  <cellXfs count="83">
    <xf numFmtId="0" fontId="0" fillId="0" borderId="0" xfId="0"/>
    <xf numFmtId="0" fontId="1" fillId="0" borderId="0" xfId="0" applyFont="1"/>
    <xf numFmtId="14" fontId="0" fillId="0" borderId="0" xfId="0" quotePrefix="1" applyNumberFormat="1"/>
    <xf numFmtId="0" fontId="0" fillId="0" borderId="0" xfId="0"/>
    <xf numFmtId="0" fontId="0" fillId="3" borderId="0" xfId="0" applyFill="1"/>
    <xf numFmtId="0" fontId="0" fillId="5" borderId="0" xfId="0" applyFill="1"/>
    <xf numFmtId="0" fontId="0" fillId="6" borderId="0" xfId="0" applyFill="1"/>
    <xf numFmtId="0" fontId="0" fillId="7" borderId="0" xfId="0" applyFill="1"/>
    <xf numFmtId="0" fontId="0" fillId="7" borderId="0" xfId="0" applyFill="1" applyAlignment="1">
      <alignment wrapText="1"/>
    </xf>
    <xf numFmtId="0" fontId="0" fillId="8" borderId="0" xfId="0" applyFill="1"/>
    <xf numFmtId="0" fontId="0" fillId="8" borderId="0" xfId="0" applyFill="1" applyAlignment="1">
      <alignment wrapText="1"/>
    </xf>
    <xf numFmtId="0" fontId="0" fillId="9" borderId="0" xfId="0" applyFill="1"/>
    <xf numFmtId="0" fontId="0" fillId="9" borderId="0" xfId="0" applyFill="1" applyAlignment="1">
      <alignment wrapText="1"/>
    </xf>
    <xf numFmtId="0" fontId="0" fillId="10" borderId="0" xfId="0" applyFill="1"/>
    <xf numFmtId="0" fontId="0" fillId="11" borderId="0" xfId="0" applyFill="1"/>
    <xf numFmtId="0" fontId="0" fillId="11" borderId="0" xfId="0" applyFill="1" applyAlignment="1">
      <alignment wrapText="1"/>
    </xf>
    <xf numFmtId="0" fontId="2" fillId="0" borderId="0" xfId="0" applyFont="1" applyBorder="1" applyAlignment="1">
      <alignment wrapText="1"/>
    </xf>
    <xf numFmtId="0" fontId="2" fillId="0" borderId="0" xfId="0" applyFont="1" applyBorder="1"/>
    <xf numFmtId="0" fontId="2" fillId="2" borderId="0" xfId="0" applyFont="1" applyFill="1" applyBorder="1" applyAlignment="1">
      <alignment wrapText="1"/>
    </xf>
    <xf numFmtId="0" fontId="2" fillId="2" borderId="0" xfId="0" applyFont="1" applyFill="1" applyBorder="1"/>
    <xf numFmtId="0" fontId="2" fillId="2" borderId="7" xfId="0" applyFont="1" applyFill="1" applyBorder="1" applyAlignment="1">
      <alignment wrapText="1"/>
    </xf>
    <xf numFmtId="0" fontId="2" fillId="0" borderId="7" xfId="0" applyFont="1" applyBorder="1"/>
    <xf numFmtId="0" fontId="2" fillId="5" borderId="0" xfId="0" applyFont="1" applyFill="1" applyAlignment="1">
      <alignment wrapText="1"/>
    </xf>
    <xf numFmtId="0" fontId="0" fillId="4" borderId="1" xfId="0" applyFill="1" applyBorder="1"/>
    <xf numFmtId="0" fontId="0" fillId="4" borderId="2" xfId="0" applyFill="1" applyBorder="1"/>
    <xf numFmtId="0" fontId="0" fillId="4" borderId="3" xfId="0" applyFill="1" applyBorder="1"/>
    <xf numFmtId="0" fontId="0" fillId="4" borderId="5" xfId="0" applyFill="1" applyBorder="1"/>
    <xf numFmtId="0" fontId="0" fillId="3" borderId="4" xfId="0" applyFill="1" applyBorder="1"/>
    <xf numFmtId="0" fontId="3" fillId="3" borderId="0" xfId="0" applyFont="1" applyFill="1" applyBorder="1" applyAlignment="1">
      <alignment wrapText="1"/>
    </xf>
    <xf numFmtId="0" fontId="0" fillId="3" borderId="5" xfId="0" applyFill="1" applyBorder="1"/>
    <xf numFmtId="0" fontId="0" fillId="4" borderId="4" xfId="0" applyFill="1" applyBorder="1"/>
    <xf numFmtId="0" fontId="3" fillId="4" borderId="0" xfId="0" applyFont="1" applyFill="1" applyBorder="1" applyAlignment="1">
      <alignment wrapText="1"/>
    </xf>
    <xf numFmtId="0" fontId="0" fillId="3" borderId="6" xfId="0" applyFill="1" applyBorder="1"/>
    <xf numFmtId="0" fontId="3" fillId="3" borderId="7" xfId="0" applyFont="1" applyFill="1" applyBorder="1" applyAlignment="1">
      <alignment wrapText="1"/>
    </xf>
    <xf numFmtId="0" fontId="0" fillId="3" borderId="8" xfId="0" applyFill="1" applyBorder="1"/>
    <xf numFmtId="0" fontId="0" fillId="0" borderId="0" xfId="0" applyProtection="1">
      <protection hidden="1"/>
    </xf>
    <xf numFmtId="0" fontId="0" fillId="3" borderId="0" xfId="0" applyFill="1" applyProtection="1">
      <protection hidden="1"/>
    </xf>
    <xf numFmtId="0" fontId="0" fillId="4" borderId="5" xfId="0" applyFill="1" applyBorder="1" applyProtection="1">
      <protection hidden="1"/>
    </xf>
    <xf numFmtId="0" fontId="0" fillId="3" borderId="5" xfId="0" applyFill="1" applyBorder="1" applyProtection="1">
      <protection hidden="1"/>
    </xf>
    <xf numFmtId="0" fontId="0" fillId="3" borderId="8" xfId="0" applyFill="1" applyBorder="1" applyProtection="1">
      <protection hidden="1"/>
    </xf>
    <xf numFmtId="0" fontId="0" fillId="7" borderId="0" xfId="0" applyFill="1" applyProtection="1">
      <protection hidden="1"/>
    </xf>
    <xf numFmtId="0" fontId="0" fillId="8" borderId="0" xfId="0" applyFill="1" applyProtection="1">
      <protection hidden="1"/>
    </xf>
    <xf numFmtId="0" fontId="0" fillId="9" borderId="0" xfId="0" applyFill="1" applyProtection="1">
      <protection hidden="1"/>
    </xf>
    <xf numFmtId="0" fontId="0" fillId="11" borderId="0" xfId="0" applyFill="1" applyProtection="1">
      <protection hidden="1"/>
    </xf>
    <xf numFmtId="0" fontId="0" fillId="0" borderId="3" xfId="0" applyBorder="1" applyProtection="1">
      <protection hidden="1"/>
    </xf>
    <xf numFmtId="0" fontId="0" fillId="0" borderId="5" xfId="0" applyBorder="1" applyProtection="1">
      <protection hidden="1"/>
    </xf>
    <xf numFmtId="0" fontId="0" fillId="0" borderId="8" xfId="0" applyBorder="1" applyProtection="1">
      <protection hidden="1"/>
    </xf>
    <xf numFmtId="0" fontId="0" fillId="5" borderId="0" xfId="0" applyFill="1" applyProtection="1">
      <protection hidden="1"/>
    </xf>
    <xf numFmtId="0" fontId="0" fillId="10" borderId="0" xfId="0" applyFill="1" applyProtection="1">
      <protection hidden="1"/>
    </xf>
    <xf numFmtId="0" fontId="0" fillId="6" borderId="0" xfId="0" applyFill="1" applyProtection="1">
      <protection hidden="1"/>
    </xf>
    <xf numFmtId="0" fontId="0" fillId="4" borderId="4" xfId="0" applyFill="1" applyBorder="1"/>
    <xf numFmtId="0" fontId="6" fillId="0" borderId="0" xfId="0" applyFont="1"/>
    <xf numFmtId="0" fontId="4" fillId="10" borderId="9" xfId="0" applyFont="1" applyFill="1" applyBorder="1" applyAlignment="1">
      <alignment wrapText="1"/>
    </xf>
    <xf numFmtId="0" fontId="4" fillId="5" borderId="9" xfId="0" applyFont="1" applyFill="1" applyBorder="1" applyAlignment="1">
      <alignment wrapText="1"/>
    </xf>
    <xf numFmtId="0" fontId="4" fillId="6" borderId="9" xfId="0" applyFont="1" applyFill="1" applyBorder="1" applyAlignment="1">
      <alignment wrapText="1"/>
    </xf>
    <xf numFmtId="0" fontId="0" fillId="9" borderId="1" xfId="0" applyFill="1" applyBorder="1"/>
    <xf numFmtId="0" fontId="0" fillId="9" borderId="4" xfId="0" applyFill="1" applyBorder="1"/>
    <xf numFmtId="0" fontId="0" fillId="10" borderId="10" xfId="0" applyFill="1" applyBorder="1"/>
    <xf numFmtId="0" fontId="0" fillId="10" borderId="11" xfId="0" applyFill="1" applyBorder="1"/>
    <xf numFmtId="0" fontId="0" fillId="5" borderId="10" xfId="0" applyFill="1" applyBorder="1"/>
    <xf numFmtId="0" fontId="0" fillId="5" borderId="11" xfId="0" applyFill="1" applyBorder="1"/>
    <xf numFmtId="0" fontId="0" fillId="6" borderId="10" xfId="0" applyFill="1" applyBorder="1"/>
    <xf numFmtId="0" fontId="0" fillId="6" borderId="11" xfId="0" applyFill="1" applyBorder="1"/>
    <xf numFmtId="0" fontId="0" fillId="5" borderId="12" xfId="0" applyFill="1" applyBorder="1"/>
    <xf numFmtId="0" fontId="4" fillId="5" borderId="13" xfId="0" applyFont="1" applyFill="1" applyBorder="1" applyAlignment="1">
      <alignment wrapText="1"/>
    </xf>
    <xf numFmtId="0" fontId="0" fillId="5" borderId="14" xfId="0" applyFill="1" applyBorder="1"/>
    <xf numFmtId="0" fontId="7" fillId="0" borderId="0" xfId="0" applyFont="1" applyAlignment="1">
      <alignment horizontal="center" wrapText="1"/>
    </xf>
    <xf numFmtId="0" fontId="4" fillId="9" borderId="0" xfId="0" applyFont="1" applyFill="1" applyBorder="1" applyAlignment="1">
      <alignment wrapText="1"/>
    </xf>
    <xf numFmtId="0" fontId="4" fillId="9" borderId="5" xfId="0" applyFont="1" applyFill="1" applyBorder="1" applyAlignment="1">
      <alignment wrapText="1"/>
    </xf>
    <xf numFmtId="0" fontId="0" fillId="9" borderId="15" xfId="0" applyFill="1" applyBorder="1"/>
    <xf numFmtId="0" fontId="0" fillId="9" borderId="16" xfId="0" applyFill="1" applyBorder="1"/>
    <xf numFmtId="0" fontId="0" fillId="9" borderId="2" xfId="0" applyFill="1" applyBorder="1"/>
    <xf numFmtId="0" fontId="0" fillId="9" borderId="3" xfId="0" applyFill="1" applyBorder="1"/>
    <xf numFmtId="0" fontId="0" fillId="5" borderId="2" xfId="0" applyFill="1" applyBorder="1"/>
    <xf numFmtId="0" fontId="3" fillId="4" borderId="4" xfId="0" applyFont="1" applyFill="1" applyBorder="1" applyAlignment="1">
      <alignment wrapText="1"/>
    </xf>
    <xf numFmtId="0" fontId="3" fillId="4" borderId="0" xfId="0" applyFont="1" applyFill="1" applyBorder="1" applyAlignment="1">
      <alignment wrapText="1"/>
    </xf>
    <xf numFmtId="0" fontId="0" fillId="4" borderId="4" xfId="0" applyFill="1" applyBorder="1"/>
    <xf numFmtId="0" fontId="0" fillId="4" borderId="0" xfId="0" applyFill="1" applyBorder="1"/>
    <xf numFmtId="17" fontId="0" fillId="0" borderId="1" xfId="0" quotePrefix="1" applyNumberForma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2" xfId="0" applyBorder="1" applyAlignment="1">
      <alignment wrapText="1"/>
    </xf>
    <xf numFmtId="0" fontId="0" fillId="5" borderId="0" xfId="0" applyFill="1" applyAlignment="1">
      <alignment horizontal="center" vertical="center"/>
    </xf>
  </cellXfs>
  <cellStyles count="1">
    <cellStyle name="Normal" xfId="0" builtinId="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1657350</xdr:colOff>
          <xdr:row>48</xdr:row>
          <xdr:rowOff>95250</xdr:rowOff>
        </xdr:from>
        <xdr:to>
          <xdr:col>2</xdr:col>
          <xdr:colOff>4610100</xdr:colOff>
          <xdr:row>53</xdr:row>
          <xdr:rowOff>123825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Submit Answers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47"/>
  <sheetViews>
    <sheetView tabSelected="1" workbookViewId="0">
      <selection activeCell="E1" sqref="E1"/>
    </sheetView>
  </sheetViews>
  <sheetFormatPr defaultRowHeight="15" x14ac:dyDescent="0.25"/>
  <cols>
    <col min="2" max="2" width="43.42578125" customWidth="1"/>
    <col min="3" max="3" width="87.140625" customWidth="1"/>
  </cols>
  <sheetData>
    <row r="1" spans="1:3" s="3" customFormat="1" ht="41.25" customHeight="1" x14ac:dyDescent="0.3">
      <c r="A1" s="66" t="s">
        <v>67</v>
      </c>
      <c r="B1" s="66"/>
      <c r="C1" s="66"/>
    </row>
    <row r="2" spans="1:3" x14ac:dyDescent="0.25">
      <c r="A2" t="s">
        <v>10</v>
      </c>
      <c r="B2" t="s">
        <v>11</v>
      </c>
      <c r="C2" t="s">
        <v>4</v>
      </c>
    </row>
    <row r="3" spans="1:3" ht="20.25" customHeight="1" thickBot="1" x14ac:dyDescent="0.3">
      <c r="A3" s="4">
        <v>1</v>
      </c>
      <c r="B3" s="4" t="s">
        <v>0</v>
      </c>
      <c r="C3" s="4"/>
    </row>
    <row r="4" spans="1:3" x14ac:dyDescent="0.25">
      <c r="A4" s="23" t="s">
        <v>6</v>
      </c>
      <c r="B4" s="24"/>
      <c r="C4" s="25"/>
    </row>
    <row r="5" spans="1:3" ht="15" customHeight="1" x14ac:dyDescent="0.25">
      <c r="A5" s="74" t="s">
        <v>7</v>
      </c>
      <c r="B5" s="75"/>
      <c r="C5" s="26"/>
    </row>
    <row r="6" spans="1:3" x14ac:dyDescent="0.25">
      <c r="A6" s="74"/>
      <c r="B6" s="75"/>
      <c r="C6" s="26"/>
    </row>
    <row r="7" spans="1:3" x14ac:dyDescent="0.25">
      <c r="A7" s="74"/>
      <c r="B7" s="75"/>
      <c r="C7" s="26"/>
    </row>
    <row r="8" spans="1:3" x14ac:dyDescent="0.25">
      <c r="A8" s="74"/>
      <c r="B8" s="75"/>
      <c r="C8" s="26"/>
    </row>
    <row r="9" spans="1:3" x14ac:dyDescent="0.25">
      <c r="A9" s="74"/>
      <c r="B9" s="75"/>
      <c r="C9" s="26"/>
    </row>
    <row r="10" spans="1:3" x14ac:dyDescent="0.25">
      <c r="A10" s="74"/>
      <c r="B10" s="75"/>
      <c r="C10" s="26"/>
    </row>
    <row r="11" spans="1:3" x14ac:dyDescent="0.25">
      <c r="A11" s="74"/>
      <c r="B11" s="75"/>
      <c r="C11" s="26"/>
    </row>
    <row r="12" spans="1:3" x14ac:dyDescent="0.25">
      <c r="A12" s="74"/>
      <c r="B12" s="75"/>
      <c r="C12" s="26"/>
    </row>
    <row r="13" spans="1:3" x14ac:dyDescent="0.25">
      <c r="A13" s="74"/>
      <c r="B13" s="75"/>
      <c r="C13" s="26"/>
    </row>
    <row r="14" spans="1:3" x14ac:dyDescent="0.25">
      <c r="A14" s="74"/>
      <c r="B14" s="75"/>
      <c r="C14" s="26"/>
    </row>
    <row r="15" spans="1:3" x14ac:dyDescent="0.25">
      <c r="A15" s="74"/>
      <c r="B15" s="75"/>
      <c r="C15" s="26"/>
    </row>
    <row r="16" spans="1:3" x14ac:dyDescent="0.25">
      <c r="A16" s="74"/>
      <c r="B16" s="75"/>
      <c r="C16" s="26"/>
    </row>
    <row r="17" spans="1:3" x14ac:dyDescent="0.25">
      <c r="A17" s="74"/>
      <c r="B17" s="75"/>
      <c r="C17" s="26"/>
    </row>
    <row r="18" spans="1:3" x14ac:dyDescent="0.25">
      <c r="A18" s="74"/>
      <c r="B18" s="75"/>
      <c r="C18" s="26"/>
    </row>
    <row r="19" spans="1:3" x14ac:dyDescent="0.25">
      <c r="A19" s="74"/>
      <c r="B19" s="75"/>
      <c r="C19" s="26"/>
    </row>
    <row r="20" spans="1:3" x14ac:dyDescent="0.25">
      <c r="A20" s="74"/>
      <c r="B20" s="75"/>
      <c r="C20" s="26"/>
    </row>
    <row r="21" spans="1:3" x14ac:dyDescent="0.25">
      <c r="A21" s="76" t="s">
        <v>8</v>
      </c>
      <c r="B21" s="77"/>
      <c r="C21" s="26"/>
    </row>
    <row r="22" spans="1:3" ht="54" x14ac:dyDescent="0.25">
      <c r="A22" s="27">
        <v>2</v>
      </c>
      <c r="B22" s="28" t="s">
        <v>9</v>
      </c>
      <c r="C22" s="29"/>
    </row>
    <row r="23" spans="1:3" ht="54" x14ac:dyDescent="0.25">
      <c r="A23" s="30">
        <v>3</v>
      </c>
      <c r="B23" s="31" t="s">
        <v>12</v>
      </c>
      <c r="C23" s="26"/>
    </row>
    <row r="24" spans="1:3" ht="54" x14ac:dyDescent="0.25">
      <c r="A24" s="27">
        <v>4</v>
      </c>
      <c r="B24" s="28" t="s">
        <v>13</v>
      </c>
      <c r="C24" s="29"/>
    </row>
    <row r="25" spans="1:3" ht="54" x14ac:dyDescent="0.25">
      <c r="A25" s="30">
        <v>5</v>
      </c>
      <c r="B25" s="31" t="s">
        <v>14</v>
      </c>
      <c r="C25" s="26"/>
    </row>
    <row r="26" spans="1:3" ht="41.25" thickBot="1" x14ac:dyDescent="0.3">
      <c r="A26" s="32">
        <v>6</v>
      </c>
      <c r="B26" s="33" t="s">
        <v>16</v>
      </c>
      <c r="C26" s="34"/>
    </row>
    <row r="27" spans="1:3" ht="123" x14ac:dyDescent="0.25">
      <c r="A27" s="7">
        <v>7</v>
      </c>
      <c r="B27" s="8" t="s">
        <v>23</v>
      </c>
      <c r="C27" s="7"/>
    </row>
    <row r="28" spans="1:3" ht="111" x14ac:dyDescent="0.25">
      <c r="A28" s="9">
        <v>8</v>
      </c>
      <c r="B28" s="10" t="s">
        <v>26</v>
      </c>
      <c r="C28" s="9"/>
    </row>
    <row r="29" spans="1:3" ht="30" x14ac:dyDescent="0.25">
      <c r="A29" s="11">
        <v>9</v>
      </c>
      <c r="B29" s="12" t="s">
        <v>27</v>
      </c>
      <c r="C29" s="11"/>
    </row>
    <row r="30" spans="1:3" ht="98.25" thickBot="1" x14ac:dyDescent="0.3">
      <c r="A30" s="14">
        <v>10</v>
      </c>
      <c r="B30" s="15" t="s">
        <v>34</v>
      </c>
      <c r="C30" s="14"/>
    </row>
    <row r="31" spans="1:3" ht="25.5" customHeight="1" x14ac:dyDescent="0.25">
      <c r="A31" s="78" t="s">
        <v>50</v>
      </c>
      <c r="B31" s="81" t="s">
        <v>48</v>
      </c>
      <c r="C31" s="81"/>
    </row>
    <row r="32" spans="1:3" ht="15.75" x14ac:dyDescent="0.3">
      <c r="A32" s="79"/>
      <c r="B32" s="16" t="s">
        <v>49</v>
      </c>
      <c r="C32" s="17" t="s">
        <v>39</v>
      </c>
    </row>
    <row r="33" spans="1:3" ht="15.75" x14ac:dyDescent="0.3">
      <c r="A33" s="79"/>
      <c r="B33" s="18"/>
      <c r="C33" s="17" t="s">
        <v>40</v>
      </c>
    </row>
    <row r="34" spans="1:3" ht="15.75" x14ac:dyDescent="0.3">
      <c r="A34" s="79"/>
      <c r="B34" s="17" t="s">
        <v>41</v>
      </c>
      <c r="C34" s="19"/>
    </row>
    <row r="35" spans="1:3" ht="15.75" x14ac:dyDescent="0.3">
      <c r="A35" s="79"/>
      <c r="B35" s="18"/>
      <c r="C35" s="17" t="s">
        <v>42</v>
      </c>
    </row>
    <row r="36" spans="1:3" ht="16.5" thickBot="1" x14ac:dyDescent="0.35">
      <c r="A36" s="80"/>
      <c r="B36" s="20"/>
      <c r="C36" s="21" t="s">
        <v>44</v>
      </c>
    </row>
    <row r="37" spans="1:3" x14ac:dyDescent="0.25">
      <c r="A37" s="82">
        <v>16</v>
      </c>
      <c r="B37" s="73" t="s">
        <v>51</v>
      </c>
      <c r="C37" s="73"/>
    </row>
    <row r="38" spans="1:3" ht="16.5" thickBot="1" x14ac:dyDescent="0.35">
      <c r="A38" s="82"/>
      <c r="B38" s="22" t="s">
        <v>52</v>
      </c>
      <c r="C38" s="5"/>
    </row>
    <row r="39" spans="1:3" x14ac:dyDescent="0.25">
      <c r="A39" s="55"/>
      <c r="B39" s="71" t="s">
        <v>56</v>
      </c>
      <c r="C39" s="72"/>
    </row>
    <row r="40" spans="1:3" ht="306" customHeight="1" x14ac:dyDescent="0.25">
      <c r="A40" s="56"/>
      <c r="B40" s="67" t="s">
        <v>57</v>
      </c>
      <c r="C40" s="68"/>
    </row>
    <row r="41" spans="1:3" x14ac:dyDescent="0.25">
      <c r="A41" s="56"/>
      <c r="B41" s="69" t="s">
        <v>66</v>
      </c>
      <c r="C41" s="70"/>
    </row>
    <row r="42" spans="1:3" ht="38.25" x14ac:dyDescent="0.25">
      <c r="A42" s="57">
        <v>17</v>
      </c>
      <c r="B42" s="52" t="s">
        <v>58</v>
      </c>
      <c r="C42" s="58"/>
    </row>
    <row r="43" spans="1:3" ht="38.25" x14ac:dyDescent="0.25">
      <c r="A43" s="59">
        <v>18</v>
      </c>
      <c r="B43" s="53" t="s">
        <v>60</v>
      </c>
      <c r="C43" s="60"/>
    </row>
    <row r="44" spans="1:3" ht="38.25" x14ac:dyDescent="0.25">
      <c r="A44" s="61">
        <v>19</v>
      </c>
      <c r="B44" s="54" t="s">
        <v>61</v>
      </c>
      <c r="C44" s="62"/>
    </row>
    <row r="45" spans="1:3" ht="39" thickBot="1" x14ac:dyDescent="0.3">
      <c r="A45" s="63">
        <v>20</v>
      </c>
      <c r="B45" s="64" t="s">
        <v>62</v>
      </c>
      <c r="C45" s="65"/>
    </row>
    <row r="47" spans="1:3" x14ac:dyDescent="0.25">
      <c r="C47" s="1" t="str">
        <f>IF(Answers!B2&lt;&gt;20,"Please answer all questions","You have answered " &amp;Answers!B2&amp;"/20 Questions")</f>
        <v>Please answer all questions</v>
      </c>
    </row>
  </sheetData>
  <mergeCells count="10">
    <mergeCell ref="A1:C1"/>
    <mergeCell ref="B40:C40"/>
    <mergeCell ref="B41:C41"/>
    <mergeCell ref="B39:C39"/>
    <mergeCell ref="B37:C37"/>
    <mergeCell ref="A5:B20"/>
    <mergeCell ref="A21:B21"/>
    <mergeCell ref="A31:A36"/>
    <mergeCell ref="B31:C31"/>
    <mergeCell ref="A37:A38"/>
  </mergeCells>
  <conditionalFormatting sqref="C3 C22:C30 B33 C34 B35:B36 C38 C42:C45">
    <cfRule type="expression" dxfId="0" priority="1">
      <formula>ISBLANK(B3)</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heckResults">
                <anchor moveWithCells="1" sizeWithCells="1">
                  <from>
                    <xdr:col>1</xdr:col>
                    <xdr:colOff>1657350</xdr:colOff>
                    <xdr:row>48</xdr:row>
                    <xdr:rowOff>95250</xdr:rowOff>
                  </from>
                  <to>
                    <xdr:col>2</xdr:col>
                    <xdr:colOff>4610100</xdr:colOff>
                    <xdr:row>53</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Dropdowns!$A$9:$A$12</xm:f>
          </x14:formula1>
          <xm:sqref>C22</xm:sqref>
        </x14:dataValidation>
        <x14:dataValidation type="list" allowBlank="1" showInputMessage="1" showErrorMessage="1">
          <x14:formula1>
            <xm:f>Dropdowns!$A$15:$A$18</xm:f>
          </x14:formula1>
          <xm:sqref>C23:C24</xm:sqref>
        </x14:dataValidation>
        <x14:dataValidation type="list" allowBlank="1" showInputMessage="1" showErrorMessage="1">
          <x14:formula1>
            <xm:f>Dropdowns!$A$21:$A$24</xm:f>
          </x14:formula1>
          <xm:sqref>C25</xm:sqref>
        </x14:dataValidation>
        <x14:dataValidation type="list" allowBlank="1" showInputMessage="1" showErrorMessage="1">
          <x14:formula1>
            <xm:f>Dropdowns!$A$27:$A$30</xm:f>
          </x14:formula1>
          <xm:sqref>C26</xm:sqref>
        </x14:dataValidation>
        <x14:dataValidation type="list" allowBlank="1" showInputMessage="1" showErrorMessage="1">
          <x14:formula1>
            <xm:f>Dropdowns!$A$33:$A$36</xm:f>
          </x14:formula1>
          <xm:sqref>C27</xm:sqref>
        </x14:dataValidation>
        <x14:dataValidation type="list" allowBlank="1" showInputMessage="1" showErrorMessage="1">
          <x14:formula1>
            <xm:f>Dropdowns!$A$39:$A$42</xm:f>
          </x14:formula1>
          <xm:sqref>C28</xm:sqref>
        </x14:dataValidation>
        <x14:dataValidation type="list" allowBlank="1" showInputMessage="1" showErrorMessage="1">
          <x14:formula1>
            <xm:f>Dropdowns!$A$45:$A$48</xm:f>
          </x14:formula1>
          <xm:sqref>C29</xm:sqref>
        </x14:dataValidation>
        <x14:dataValidation type="list" allowBlank="1" showInputMessage="1" showErrorMessage="1">
          <x14:formula1>
            <xm:f>Dropdowns!$A$51:$A$54</xm:f>
          </x14:formula1>
          <xm:sqref>C30</xm:sqref>
        </x14:dataValidation>
        <x14:dataValidation type="list" allowBlank="1" showInputMessage="1" showErrorMessage="1">
          <x14:formula1>
            <xm:f>Dropdowns!$A$58:$A$61</xm:f>
          </x14:formula1>
          <xm:sqref>B33 C34 B35:B36</xm:sqref>
        </x14:dataValidation>
        <x14:dataValidation type="list" allowBlank="1" showInputMessage="1" showErrorMessage="1">
          <x14:formula1>
            <xm:f>Dropdowns!$A$64:$A$67</xm:f>
          </x14:formula1>
          <xm:sqref>C38</xm:sqref>
        </x14:dataValidation>
        <x14:dataValidation type="list" allowBlank="1" showInputMessage="1" showErrorMessage="1">
          <x14:formula1>
            <xm:f>Dropdowns!$A$70:$A$74</xm:f>
          </x14:formula1>
          <xm:sqref>C42</xm:sqref>
        </x14:dataValidation>
        <x14:dataValidation type="list" allowBlank="1" showInputMessage="1" showErrorMessage="1">
          <x14:formula1>
            <xm:f>Dropdowns!$A$84:$A$88</xm:f>
          </x14:formula1>
          <xm:sqref>C44</xm:sqref>
        </x14:dataValidation>
        <x14:dataValidation type="list" allowBlank="1" showInputMessage="1" showErrorMessage="1">
          <x14:formula1>
            <xm:f>Dropdowns!$A$91:$A$95</xm:f>
          </x14:formula1>
          <xm:sqref>C45</xm:sqref>
        </x14:dataValidation>
        <x14:dataValidation type="list" allowBlank="1" showInputMessage="1" showErrorMessage="1">
          <x14:formula1>
            <xm:f>Dropdowns!$A$77:$A$81</xm:f>
          </x14:formula1>
          <xm:sqref>C43</xm:sqref>
        </x14:dataValidation>
        <x14:dataValidation type="list" allowBlank="1" showInputMessage="1" showErrorMessage="1">
          <x14:formula1>
            <xm:f>Dropdowns!A3:A6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D3:D4"/>
  <sheetViews>
    <sheetView workbookViewId="0">
      <selection activeCell="D5" sqref="D5"/>
    </sheetView>
  </sheetViews>
  <sheetFormatPr defaultRowHeight="15" x14ac:dyDescent="0.25"/>
  <sheetData>
    <row r="3" spans="4:4" ht="31.5" x14ac:dyDescent="0.5">
      <c r="D3" s="51" t="s">
        <v>63</v>
      </c>
    </row>
    <row r="4" spans="4:4" ht="31.5" x14ac:dyDescent="0.5">
      <c r="D4" s="51" t="s">
        <v>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3"/>
  <sheetViews>
    <sheetView topLeftCell="A3" workbookViewId="0">
      <selection activeCell="A20" sqref="A20:XFD22"/>
    </sheetView>
  </sheetViews>
  <sheetFormatPr defaultRowHeight="15" x14ac:dyDescent="0.25"/>
  <cols>
    <col min="1" max="1" width="9.140625" style="3"/>
    <col min="2" max="3" width="9.140625" style="35" customWidth="1"/>
  </cols>
  <sheetData>
    <row r="1" spans="1:3" x14ac:dyDescent="0.25">
      <c r="A1" s="3" t="s">
        <v>10</v>
      </c>
      <c r="B1" s="35" t="s">
        <v>65</v>
      </c>
    </row>
    <row r="2" spans="1:3" x14ac:dyDescent="0.25">
      <c r="A2" s="4">
        <v>1</v>
      </c>
      <c r="B2" s="36" t="e">
        <f>VLOOKUP(Questions!C3,Dropdowns!A3:B6,2,FALSE)</f>
        <v>#N/A</v>
      </c>
      <c r="C2" s="35">
        <f>LEN(LEFT(Questions!C3,1))</f>
        <v>0</v>
      </c>
    </row>
    <row r="3" spans="1:3" x14ac:dyDescent="0.25">
      <c r="A3" s="27">
        <v>2</v>
      </c>
      <c r="B3" s="38" t="e">
        <f>VLOOKUP(Questions!C22,Dropdowns!A9:B12,2,FALSE)</f>
        <v>#N/A</v>
      </c>
      <c r="C3" s="35">
        <f>LEN(LEFT(Questions!C22,1))</f>
        <v>0</v>
      </c>
    </row>
    <row r="4" spans="1:3" x14ac:dyDescent="0.25">
      <c r="A4" s="50">
        <v>3</v>
      </c>
      <c r="B4" s="37" t="e">
        <f>VLOOKUP(Questions!C23,Dropdowns!A15:B18,2,FALSE)</f>
        <v>#N/A</v>
      </c>
      <c r="C4" s="35">
        <f>LEN(LEFT(Questions!C23,1))</f>
        <v>0</v>
      </c>
    </row>
    <row r="5" spans="1:3" x14ac:dyDescent="0.25">
      <c r="A5" s="27">
        <v>4</v>
      </c>
      <c r="B5" s="38" t="e">
        <f>VLOOKUP(Questions!C23,Dropdowns!A15:B18,2,FALSE)</f>
        <v>#N/A</v>
      </c>
      <c r="C5" s="35">
        <f>LEN(LEFT(Questions!C24,1))</f>
        <v>0</v>
      </c>
    </row>
    <row r="6" spans="1:3" x14ac:dyDescent="0.25">
      <c r="A6" s="50">
        <v>5</v>
      </c>
      <c r="B6" s="37" t="e">
        <f>VLOOKUP(Questions!C25,Dropdowns!A21:B24,2,FALSE)</f>
        <v>#N/A</v>
      </c>
      <c r="C6" s="35">
        <f>LEN(LEFT(Questions!C25,1))</f>
        <v>0</v>
      </c>
    </row>
    <row r="7" spans="1:3" ht="15.75" thickBot="1" x14ac:dyDescent="0.3">
      <c r="A7" s="32">
        <v>6</v>
      </c>
      <c r="B7" s="39" t="e">
        <f>VLOOKUP(Questions!C26,Dropdowns!A27:B30,2,FALSE)</f>
        <v>#N/A</v>
      </c>
      <c r="C7" s="35">
        <f>LEN(LEFT(Questions!C26,1))</f>
        <v>0</v>
      </c>
    </row>
    <row r="8" spans="1:3" x14ac:dyDescent="0.25">
      <c r="A8" s="7">
        <v>7</v>
      </c>
      <c r="B8" s="40" t="e">
        <f>VLOOKUP(Questions!C27,Dropdowns!A33:B36,2,FALSE)</f>
        <v>#N/A</v>
      </c>
      <c r="C8" s="35">
        <f>LEN(LEFT(Questions!C27,1))</f>
        <v>0</v>
      </c>
    </row>
    <row r="9" spans="1:3" x14ac:dyDescent="0.25">
      <c r="A9" s="9">
        <v>8</v>
      </c>
      <c r="B9" s="41" t="e">
        <f>VLOOKUP(Questions!C28,Dropdowns!A39:B42,2,FALSE)</f>
        <v>#N/A</v>
      </c>
      <c r="C9" s="35">
        <f>LEN(LEFT(Questions!C28,1))</f>
        <v>0</v>
      </c>
    </row>
    <row r="10" spans="1:3" x14ac:dyDescent="0.25">
      <c r="A10" s="11">
        <v>9</v>
      </c>
      <c r="B10" s="42" t="e">
        <f>VLOOKUP(Questions!C29,Dropdowns!A45:B48,2,FALSE)</f>
        <v>#N/A</v>
      </c>
      <c r="C10" s="35">
        <f>LEN(LEFT(Questions!C29,1))</f>
        <v>0</v>
      </c>
    </row>
    <row r="11" spans="1:3" ht="15.75" thickBot="1" x14ac:dyDescent="0.3">
      <c r="A11" s="14">
        <v>10</v>
      </c>
      <c r="B11" s="43" t="e">
        <f>VLOOKUP(Questions!C30,Dropdowns!A51:B54,2,FALSE)</f>
        <v>#N/A</v>
      </c>
      <c r="C11" s="35">
        <f>LEN(LEFT(Questions!C30,1))</f>
        <v>0</v>
      </c>
    </row>
    <row r="12" spans="1:3" x14ac:dyDescent="0.25">
      <c r="A12" s="78" t="s">
        <v>50</v>
      </c>
      <c r="B12" s="44"/>
    </row>
    <row r="13" spans="1:3" x14ac:dyDescent="0.25">
      <c r="A13" s="79"/>
      <c r="B13" s="45"/>
    </row>
    <row r="14" spans="1:3" x14ac:dyDescent="0.25">
      <c r="A14" s="79"/>
      <c r="B14" s="45" t="e">
        <f>VLOOKUP(Questions!B33,Dropdowns!A58:B61,2,FALSE)</f>
        <v>#N/A</v>
      </c>
      <c r="C14" s="35">
        <f>LEN(LEFT(Questions!B33,1))</f>
        <v>0</v>
      </c>
    </row>
    <row r="15" spans="1:3" x14ac:dyDescent="0.25">
      <c r="A15" s="79"/>
      <c r="B15" s="45" t="e">
        <f>VLOOKUP(Questions!C34,Dropdowns!A58:C61,3,FALSE)</f>
        <v>#N/A</v>
      </c>
      <c r="C15" s="35">
        <f>LEN(LEFT(Questions!C34,1))</f>
        <v>0</v>
      </c>
    </row>
    <row r="16" spans="1:3" x14ac:dyDescent="0.25">
      <c r="A16" s="79"/>
      <c r="B16" s="45" t="e">
        <f>VLOOKUP(Questions!B35,Dropdowns!A58:D61,4,FALSE)</f>
        <v>#N/A</v>
      </c>
      <c r="C16" s="35">
        <f>LEN(LEFT(Questions!B35,1))</f>
        <v>0</v>
      </c>
    </row>
    <row r="17" spans="1:3" ht="15.75" thickBot="1" x14ac:dyDescent="0.3">
      <c r="A17" s="80"/>
      <c r="B17" s="46" t="e">
        <f>VLOOKUP(Questions!B36,Dropdowns!A58:E61,5,FALSE)</f>
        <v>#N/A</v>
      </c>
      <c r="C17" s="35">
        <f>LEN(LEFT(Questions!B36,1))</f>
        <v>0</v>
      </c>
    </row>
    <row r="18" spans="1:3" x14ac:dyDescent="0.25">
      <c r="A18" s="82">
        <v>16</v>
      </c>
      <c r="B18" s="47" t="e">
        <f>IF(SUM(B14:B17)=4,1,0)</f>
        <v>#N/A</v>
      </c>
      <c r="C18" s="35" t="e">
        <f>IF(B18&gt;=0,1,0)</f>
        <v>#N/A</v>
      </c>
    </row>
    <row r="19" spans="1:3" x14ac:dyDescent="0.25">
      <c r="A19" s="82"/>
      <c r="B19" s="47" t="e">
        <f>VLOOKUP(Questions!C38,Dropdowns!A64:B67,2,FALSE)</f>
        <v>#N/A</v>
      </c>
      <c r="C19" s="35">
        <f>LEN(LEFT(Questions!C38,1))</f>
        <v>0</v>
      </c>
    </row>
    <row r="20" spans="1:3" x14ac:dyDescent="0.25">
      <c r="A20" s="13">
        <v>17</v>
      </c>
      <c r="B20" s="48" t="e">
        <f>VLOOKUP(Questions!C42,Dropdowns!A70:B74,2,FALSE)</f>
        <v>#N/A</v>
      </c>
      <c r="C20" s="35">
        <f>LEN(LEFT(Questions!C42,1))</f>
        <v>0</v>
      </c>
    </row>
    <row r="21" spans="1:3" x14ac:dyDescent="0.25">
      <c r="A21" s="5">
        <v>18</v>
      </c>
      <c r="B21" s="47">
        <f>VLOOKUP(Questions!C43,Dropdowns!A77:B81,2,FALSE)</f>
        <v>0</v>
      </c>
      <c r="C21" s="35">
        <f>LEN(LEFT(Questions!C43,1))</f>
        <v>0</v>
      </c>
    </row>
    <row r="22" spans="1:3" x14ac:dyDescent="0.25">
      <c r="A22" s="6">
        <v>19</v>
      </c>
      <c r="B22" s="49" t="e">
        <f>VLOOKUP(Questions!C44,Dropdowns!A84:B88,2,FALSE)</f>
        <v>#N/A</v>
      </c>
      <c r="C22" s="35">
        <f>LEN(LEFT(Questions!C44,1))</f>
        <v>0</v>
      </c>
    </row>
    <row r="23" spans="1:3" x14ac:dyDescent="0.25">
      <c r="A23" s="5">
        <v>20</v>
      </c>
      <c r="B23" s="47" t="e">
        <f>VLOOKUP(Questions!C45,Dropdowns!A91:B95,2,FALSE)</f>
        <v>#N/A</v>
      </c>
      <c r="C23" s="35">
        <f>LEN(LEFT(Questions!C45,1))</f>
        <v>0</v>
      </c>
    </row>
  </sheetData>
  <mergeCells count="2">
    <mergeCell ref="A12:A17"/>
    <mergeCell ref="A18:A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95"/>
  <sheetViews>
    <sheetView workbookViewId="0">
      <selection activeCell="A6" sqref="A6"/>
    </sheetView>
  </sheetViews>
  <sheetFormatPr defaultRowHeight="15" x14ac:dyDescent="0.25"/>
  <cols>
    <col min="1" max="1" width="27.28515625" customWidth="1"/>
  </cols>
  <sheetData>
    <row r="1" spans="1:2" x14ac:dyDescent="0.25">
      <c r="A1" s="1">
        <v>1</v>
      </c>
    </row>
    <row r="2" spans="1:2" x14ac:dyDescent="0.25">
      <c r="A2" t="s">
        <v>4</v>
      </c>
      <c r="B2" t="s">
        <v>5</v>
      </c>
    </row>
    <row r="3" spans="1:2" x14ac:dyDescent="0.25">
      <c r="A3" t="s">
        <v>1</v>
      </c>
      <c r="B3">
        <v>0</v>
      </c>
    </row>
    <row r="4" spans="1:2" x14ac:dyDescent="0.25">
      <c r="A4" t="s">
        <v>2</v>
      </c>
      <c r="B4">
        <v>1</v>
      </c>
    </row>
    <row r="5" spans="1:2" x14ac:dyDescent="0.25">
      <c r="A5" t="s">
        <v>3</v>
      </c>
      <c r="B5">
        <v>0</v>
      </c>
    </row>
    <row r="6" spans="1:2" x14ac:dyDescent="0.25">
      <c r="A6" t="s">
        <v>68</v>
      </c>
      <c r="B6">
        <v>0</v>
      </c>
    </row>
    <row r="8" spans="1:2" x14ac:dyDescent="0.25">
      <c r="A8" s="1">
        <v>2</v>
      </c>
    </row>
    <row r="9" spans="1:2" x14ac:dyDescent="0.25">
      <c r="A9">
        <v>2</v>
      </c>
      <c r="B9">
        <v>0</v>
      </c>
    </row>
    <row r="10" spans="1:2" x14ac:dyDescent="0.25">
      <c r="A10">
        <v>3</v>
      </c>
      <c r="B10">
        <v>0</v>
      </c>
    </row>
    <row r="11" spans="1:2" x14ac:dyDescent="0.25">
      <c r="A11">
        <v>1</v>
      </c>
      <c r="B11">
        <v>1</v>
      </c>
    </row>
    <row r="12" spans="1:2" x14ac:dyDescent="0.25">
      <c r="A12">
        <v>4</v>
      </c>
      <c r="B12">
        <v>0</v>
      </c>
    </row>
    <row r="14" spans="1:2" x14ac:dyDescent="0.25">
      <c r="A14" s="1" t="s">
        <v>15</v>
      </c>
    </row>
    <row r="15" spans="1:2" x14ac:dyDescent="0.25">
      <c r="A15">
        <v>2</v>
      </c>
      <c r="B15">
        <v>0</v>
      </c>
    </row>
    <row r="16" spans="1:2" x14ac:dyDescent="0.25">
      <c r="A16">
        <v>1</v>
      </c>
      <c r="B16">
        <v>0</v>
      </c>
    </row>
    <row r="17" spans="1:2" x14ac:dyDescent="0.25">
      <c r="A17">
        <v>8</v>
      </c>
      <c r="B17">
        <v>0</v>
      </c>
    </row>
    <row r="18" spans="1:2" x14ac:dyDescent="0.25">
      <c r="A18">
        <v>4</v>
      </c>
      <c r="B18">
        <v>1</v>
      </c>
    </row>
    <row r="20" spans="1:2" x14ac:dyDescent="0.25">
      <c r="A20" s="1">
        <v>5</v>
      </c>
    </row>
    <row r="21" spans="1:2" x14ac:dyDescent="0.25">
      <c r="A21">
        <v>7</v>
      </c>
      <c r="B21">
        <v>1</v>
      </c>
    </row>
    <row r="22" spans="1:2" x14ac:dyDescent="0.25">
      <c r="A22">
        <v>6</v>
      </c>
      <c r="B22">
        <v>0</v>
      </c>
    </row>
    <row r="23" spans="1:2" x14ac:dyDescent="0.25">
      <c r="A23">
        <v>8</v>
      </c>
      <c r="B23">
        <v>0</v>
      </c>
    </row>
    <row r="24" spans="1:2" x14ac:dyDescent="0.25">
      <c r="A24">
        <v>4</v>
      </c>
      <c r="B24">
        <v>0</v>
      </c>
    </row>
    <row r="26" spans="1:2" x14ac:dyDescent="0.25">
      <c r="A26" s="1">
        <v>6</v>
      </c>
    </row>
    <row r="27" spans="1:2" x14ac:dyDescent="0.25">
      <c r="A27">
        <v>4</v>
      </c>
      <c r="B27">
        <v>0</v>
      </c>
    </row>
    <row r="28" spans="1:2" x14ac:dyDescent="0.25">
      <c r="A28">
        <v>8</v>
      </c>
      <c r="B28">
        <v>0</v>
      </c>
    </row>
    <row r="29" spans="1:2" x14ac:dyDescent="0.25">
      <c r="A29">
        <v>12</v>
      </c>
      <c r="B29">
        <v>0</v>
      </c>
    </row>
    <row r="30" spans="1:2" x14ac:dyDescent="0.25">
      <c r="A30">
        <v>16</v>
      </c>
      <c r="B30">
        <v>1</v>
      </c>
    </row>
    <row r="32" spans="1:2" x14ac:dyDescent="0.25">
      <c r="A32" s="1">
        <v>7</v>
      </c>
    </row>
    <row r="33" spans="1:2" x14ac:dyDescent="0.25">
      <c r="A33" t="s">
        <v>19</v>
      </c>
      <c r="B33">
        <v>0</v>
      </c>
    </row>
    <row r="34" spans="1:2" x14ac:dyDescent="0.25">
      <c r="A34" s="2" t="s">
        <v>20</v>
      </c>
      <c r="B34">
        <v>0</v>
      </c>
    </row>
    <row r="35" spans="1:2" x14ac:dyDescent="0.25">
      <c r="A35" s="2" t="s">
        <v>21</v>
      </c>
      <c r="B35">
        <v>1</v>
      </c>
    </row>
    <row r="36" spans="1:2" x14ac:dyDescent="0.25">
      <c r="A36" s="2" t="s">
        <v>22</v>
      </c>
      <c r="B36">
        <v>0</v>
      </c>
    </row>
    <row r="38" spans="1:2" x14ac:dyDescent="0.25">
      <c r="A38" s="1">
        <v>8</v>
      </c>
    </row>
    <row r="39" spans="1:2" x14ac:dyDescent="0.25">
      <c r="A39" t="s">
        <v>32</v>
      </c>
      <c r="B39">
        <v>0</v>
      </c>
    </row>
    <row r="40" spans="1:2" x14ac:dyDescent="0.25">
      <c r="A40" t="s">
        <v>33</v>
      </c>
      <c r="B40">
        <v>0</v>
      </c>
    </row>
    <row r="41" spans="1:2" x14ac:dyDescent="0.25">
      <c r="A41" t="s">
        <v>24</v>
      </c>
      <c r="B41">
        <v>0</v>
      </c>
    </row>
    <row r="42" spans="1:2" x14ac:dyDescent="0.25">
      <c r="A42" t="s">
        <v>25</v>
      </c>
      <c r="B42">
        <v>1</v>
      </c>
    </row>
    <row r="44" spans="1:2" x14ac:dyDescent="0.25">
      <c r="A44" s="1">
        <v>9</v>
      </c>
    </row>
    <row r="45" spans="1:2" x14ac:dyDescent="0.25">
      <c r="A45" t="s">
        <v>28</v>
      </c>
      <c r="B45">
        <v>0</v>
      </c>
    </row>
    <row r="46" spans="1:2" x14ac:dyDescent="0.25">
      <c r="A46" t="s">
        <v>29</v>
      </c>
      <c r="B46">
        <v>0</v>
      </c>
    </row>
    <row r="47" spans="1:2" x14ac:dyDescent="0.25">
      <c r="A47" t="s">
        <v>30</v>
      </c>
      <c r="B47">
        <v>1</v>
      </c>
    </row>
    <row r="48" spans="1:2" x14ac:dyDescent="0.25">
      <c r="A48" t="s">
        <v>31</v>
      </c>
      <c r="B48">
        <v>0</v>
      </c>
    </row>
    <row r="50" spans="1:5" x14ac:dyDescent="0.25">
      <c r="A50">
        <v>10</v>
      </c>
    </row>
    <row r="51" spans="1:5" x14ac:dyDescent="0.25">
      <c r="A51" t="s">
        <v>35</v>
      </c>
      <c r="B51">
        <v>0</v>
      </c>
    </row>
    <row r="52" spans="1:5" x14ac:dyDescent="0.25">
      <c r="A52" t="s">
        <v>36</v>
      </c>
      <c r="B52">
        <v>1</v>
      </c>
    </row>
    <row r="53" spans="1:5" x14ac:dyDescent="0.25">
      <c r="A53" t="s">
        <v>37</v>
      </c>
      <c r="B53">
        <v>0</v>
      </c>
    </row>
    <row r="54" spans="1:5" x14ac:dyDescent="0.25">
      <c r="A54" t="s">
        <v>38</v>
      </c>
      <c r="B54">
        <v>0</v>
      </c>
    </row>
    <row r="57" spans="1:5" x14ac:dyDescent="0.25">
      <c r="B57">
        <v>11</v>
      </c>
      <c r="C57">
        <v>12</v>
      </c>
      <c r="D57">
        <v>13</v>
      </c>
      <c r="E57">
        <v>14</v>
      </c>
    </row>
    <row r="58" spans="1:5" x14ac:dyDescent="0.25">
      <c r="A58" t="s">
        <v>45</v>
      </c>
      <c r="B58">
        <v>1</v>
      </c>
      <c r="C58">
        <v>0</v>
      </c>
      <c r="D58" s="3">
        <v>0</v>
      </c>
      <c r="E58" s="3">
        <v>0</v>
      </c>
    </row>
    <row r="59" spans="1:5" x14ac:dyDescent="0.25">
      <c r="A59" t="s">
        <v>43</v>
      </c>
      <c r="B59">
        <v>0</v>
      </c>
      <c r="C59" s="3">
        <v>0</v>
      </c>
      <c r="D59">
        <v>0</v>
      </c>
      <c r="E59">
        <v>1</v>
      </c>
    </row>
    <row r="60" spans="1:5" x14ac:dyDescent="0.25">
      <c r="A60" t="s">
        <v>47</v>
      </c>
      <c r="B60">
        <v>0</v>
      </c>
      <c r="C60">
        <v>0</v>
      </c>
      <c r="D60">
        <v>1</v>
      </c>
      <c r="E60">
        <v>0</v>
      </c>
    </row>
    <row r="61" spans="1:5" x14ac:dyDescent="0.25">
      <c r="A61" t="s">
        <v>46</v>
      </c>
      <c r="B61">
        <v>0</v>
      </c>
      <c r="C61">
        <v>1</v>
      </c>
      <c r="D61">
        <v>0</v>
      </c>
      <c r="E61" s="3">
        <v>0</v>
      </c>
    </row>
    <row r="63" spans="1:5" x14ac:dyDescent="0.25">
      <c r="A63">
        <v>16</v>
      </c>
    </row>
    <row r="64" spans="1:5" x14ac:dyDescent="0.25">
      <c r="A64" t="s">
        <v>53</v>
      </c>
      <c r="B64">
        <v>0</v>
      </c>
    </row>
    <row r="65" spans="1:2" x14ac:dyDescent="0.25">
      <c r="A65" t="s">
        <v>54</v>
      </c>
      <c r="B65">
        <v>0</v>
      </c>
    </row>
    <row r="66" spans="1:2" x14ac:dyDescent="0.25">
      <c r="A66">
        <v>11111111111</v>
      </c>
      <c r="B66">
        <v>0</v>
      </c>
    </row>
    <row r="67" spans="1:2" x14ac:dyDescent="0.25">
      <c r="A67" t="s">
        <v>55</v>
      </c>
      <c r="B67">
        <v>1</v>
      </c>
    </row>
    <row r="69" spans="1:2" x14ac:dyDescent="0.25">
      <c r="A69" s="1">
        <v>17</v>
      </c>
    </row>
    <row r="70" spans="1:2" x14ac:dyDescent="0.25">
      <c r="A70">
        <v>5</v>
      </c>
      <c r="B70">
        <v>0</v>
      </c>
    </row>
    <row r="71" spans="1:2" x14ac:dyDescent="0.25">
      <c r="A71" t="s">
        <v>59</v>
      </c>
      <c r="B71">
        <v>0</v>
      </c>
    </row>
    <row r="72" spans="1:2" x14ac:dyDescent="0.25">
      <c r="A72">
        <v>10</v>
      </c>
      <c r="B72">
        <v>1</v>
      </c>
    </row>
    <row r="73" spans="1:2" x14ac:dyDescent="0.25">
      <c r="A73">
        <v>11</v>
      </c>
      <c r="B73">
        <v>0</v>
      </c>
    </row>
    <row r="74" spans="1:2" x14ac:dyDescent="0.25">
      <c r="A74">
        <v>17</v>
      </c>
      <c r="B74">
        <v>0</v>
      </c>
    </row>
    <row r="76" spans="1:2" x14ac:dyDescent="0.25">
      <c r="A76" s="1">
        <v>18</v>
      </c>
    </row>
    <row r="77" spans="1:2" x14ac:dyDescent="0.25">
      <c r="A77">
        <v>17</v>
      </c>
      <c r="B77">
        <v>0</v>
      </c>
    </row>
    <row r="78" spans="1:2" x14ac:dyDescent="0.25">
      <c r="A78" t="s">
        <v>59</v>
      </c>
      <c r="B78">
        <v>0</v>
      </c>
    </row>
    <row r="79" spans="1:2" x14ac:dyDescent="0.25">
      <c r="A79">
        <v>10</v>
      </c>
      <c r="B79">
        <v>0</v>
      </c>
    </row>
    <row r="80" spans="1:2" x14ac:dyDescent="0.25">
      <c r="A80">
        <v>0</v>
      </c>
      <c r="B80">
        <v>0</v>
      </c>
    </row>
    <row r="81" spans="1:2" x14ac:dyDescent="0.25">
      <c r="A81">
        <v>16</v>
      </c>
      <c r="B81">
        <v>1</v>
      </c>
    </row>
    <row r="83" spans="1:2" x14ac:dyDescent="0.25">
      <c r="A83" s="1">
        <v>19</v>
      </c>
    </row>
    <row r="84" spans="1:2" x14ac:dyDescent="0.25">
      <c r="A84">
        <v>5</v>
      </c>
      <c r="B84">
        <v>1</v>
      </c>
    </row>
    <row r="85" spans="1:2" x14ac:dyDescent="0.25">
      <c r="A85">
        <v>10</v>
      </c>
      <c r="B85">
        <v>0</v>
      </c>
    </row>
    <row r="86" spans="1:2" x14ac:dyDescent="0.25">
      <c r="A86">
        <v>15</v>
      </c>
      <c r="B86">
        <v>0</v>
      </c>
    </row>
    <row r="87" spans="1:2" x14ac:dyDescent="0.25">
      <c r="A87">
        <v>20</v>
      </c>
      <c r="B87">
        <v>0</v>
      </c>
    </row>
    <row r="88" spans="1:2" x14ac:dyDescent="0.25">
      <c r="A88" s="3" t="s">
        <v>59</v>
      </c>
      <c r="B88">
        <v>0</v>
      </c>
    </row>
    <row r="90" spans="1:2" x14ac:dyDescent="0.25">
      <c r="A90" s="1">
        <v>20</v>
      </c>
    </row>
    <row r="91" spans="1:2" x14ac:dyDescent="0.25">
      <c r="A91" s="3">
        <v>5</v>
      </c>
      <c r="B91" s="3">
        <v>1</v>
      </c>
    </row>
    <row r="92" spans="1:2" x14ac:dyDescent="0.25">
      <c r="A92" s="3">
        <v>10</v>
      </c>
      <c r="B92" s="3">
        <v>0</v>
      </c>
    </row>
    <row r="93" spans="1:2" x14ac:dyDescent="0.25">
      <c r="A93" s="3">
        <v>15</v>
      </c>
      <c r="B93" s="3">
        <v>0</v>
      </c>
    </row>
    <row r="94" spans="1:2" x14ac:dyDescent="0.25">
      <c r="A94" s="3">
        <v>20</v>
      </c>
      <c r="B94" s="3">
        <v>0</v>
      </c>
    </row>
    <row r="95" spans="1:2" x14ac:dyDescent="0.25">
      <c r="A95" s="3" t="s">
        <v>59</v>
      </c>
      <c r="B95">
        <v>0</v>
      </c>
    </row>
  </sheetData>
  <sheetProtection algorithmName="SHA-512" hashValue="EagbvgyJJBPeZkAplGAWT6fVNCPHmDXGtEIkIa2IX4AP4scWm8s/WFwytCnY/sW5MkUBwQBTF/863gR6I/8PTw==" saltValue="OBzgf70lqxqOjpwVj4A4zw=="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
  <sheetViews>
    <sheetView workbookViewId="0">
      <selection activeCell="B3" sqref="B3"/>
    </sheetView>
  </sheetViews>
  <sheetFormatPr defaultRowHeight="15" x14ac:dyDescent="0.25"/>
  <cols>
    <col min="1" max="1" width="19.7109375" bestFit="1" customWidth="1"/>
  </cols>
  <sheetData>
    <row r="1" spans="1:2" x14ac:dyDescent="0.25">
      <c r="A1" t="s">
        <v>18</v>
      </c>
      <c r="B1" t="e">
        <f>SUM(AnswerLookup!B:B)</f>
        <v>#N/A</v>
      </c>
    </row>
    <row r="2" spans="1:2" x14ac:dyDescent="0.25">
      <c r="A2" t="s">
        <v>17</v>
      </c>
      <c r="B2">
        <f>IFERROR(SUM(AnswerLookup!C:C),0)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Questions</vt:lpstr>
    </vt:vector>
  </TitlesOfParts>
  <Company>Callcredit Information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Williams</dc:creator>
  <cp:lastModifiedBy>Kevin Williams</cp:lastModifiedBy>
  <dcterms:created xsi:type="dcterms:W3CDTF">2018-01-06T10:37:54Z</dcterms:created>
  <dcterms:modified xsi:type="dcterms:W3CDTF">2018-01-08T10:24:13Z</dcterms:modified>
</cp:coreProperties>
</file>